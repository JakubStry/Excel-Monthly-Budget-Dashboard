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CE332947-0B3A-45A7-B2BE-EFAD8D8C45BB}" xr6:coauthVersionLast="47" xr6:coauthVersionMax="47" xr10:uidLastSave="{00000000-0000-0000-0000-000000000000}"/>
  <bookViews>
    <workbookView xWindow="14295" yWindow="0" windowWidth="14610" windowHeight="15585" xr2:uid="{9B37D579-8054-4716-8804-97560D9D7CC4}"/>
  </bookViews>
  <sheets>
    <sheet name="Monthly Budg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E18" i="1"/>
  <c r="D18" i="1"/>
  <c r="C18" i="1"/>
  <c r="E17" i="1"/>
  <c r="D17" i="1"/>
  <c r="C17" i="1"/>
  <c r="E16" i="1"/>
  <c r="D16" i="1"/>
  <c r="C16" i="1"/>
  <c r="E15" i="1"/>
  <c r="D15" i="1"/>
  <c r="C15" i="1"/>
  <c r="E14" i="1"/>
  <c r="D14" i="1"/>
  <c r="E11" i="1"/>
  <c r="D11" i="1"/>
  <c r="C11" i="1"/>
  <c r="F10" i="1"/>
  <c r="F9" i="1"/>
  <c r="F8" i="1"/>
  <c r="F7" i="1"/>
  <c r="F6" i="1"/>
  <c r="F11" i="1" l="1"/>
  <c r="G11" i="1" s="1"/>
  <c r="G6" i="1" l="1"/>
  <c r="G10" i="1"/>
  <c r="G9" i="1"/>
  <c r="G8" i="1"/>
  <c r="G7" i="1"/>
</calcChain>
</file>

<file path=xl/sharedStrings.xml><?xml version="1.0" encoding="utf-8"?>
<sst xmlns="http://schemas.openxmlformats.org/spreadsheetml/2006/main" count="15" uniqueCount="14">
  <si>
    <t>Bills</t>
  </si>
  <si>
    <t>Total</t>
  </si>
  <si>
    <t>Percent</t>
  </si>
  <si>
    <t>Internet</t>
  </si>
  <si>
    <t>Phone</t>
  </si>
  <si>
    <t>Rent</t>
  </si>
  <si>
    <t>Car</t>
  </si>
  <si>
    <t>Insurance</t>
  </si>
  <si>
    <t>Min</t>
  </si>
  <si>
    <t>Max</t>
  </si>
  <si>
    <t>Avg</t>
  </si>
  <si>
    <t>Med.</t>
  </si>
  <si>
    <t>Count</t>
  </si>
  <si>
    <t>MonthlyBudget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</si>
</sst>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\-yyyy"/>
    <numFmt numFmtId="165" formatCode="_-* #,##0.00\ [$zł-415]_-;\-* #,##0.00\ [$zł-415]_-;_-* &quot;-&quot;??\ [$zł-415]_-;_-@_-"/>
    <numFmt numFmtId="166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24"/>
      <color theme="0"/>
      <name val="Aptos"/>
      <family val="2"/>
    </font>
    <font>
      <i/>
      <sz val="12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8B9D3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ck">
        <color rgb="FF002060"/>
      </left>
      <right/>
      <top style="thick">
        <color rgb="FF002060"/>
      </top>
      <bottom style="thick">
        <color rgb="FF002060"/>
      </bottom>
      <diagonal/>
    </border>
    <border>
      <left/>
      <right/>
      <top style="thick">
        <color rgb="FF002060"/>
      </top>
      <bottom style="thick">
        <color rgb="FF002060"/>
      </bottom>
      <diagonal/>
    </border>
    <border>
      <left/>
      <right style="thick">
        <color rgb="FF002060"/>
      </right>
      <top style="thick">
        <color rgb="FF002060"/>
      </top>
      <bottom style="thick">
        <color rgb="FF00206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3" borderId="4" applyNumberFormat="0"/>
  </cellStyleXfs>
  <cellXfs count="12">
    <xf numFmtId="0" fontId="0" fillId="0" borderId="0" xfId="0"/>
    <xf numFmtId="0" fontId="4" fillId="3" borderId="4" xfId="4"/>
    <xf numFmtId="164" fontId="4" fillId="3" borderId="4" xfId="4" applyNumberFormat="1"/>
    <xf numFmtId="165" fontId="0" fillId="0" borderId="0" xfId="2" applyNumberFormat="1" applyFont="1"/>
    <xf numFmtId="166" fontId="0" fillId="0" borderId="0" xfId="3" applyNumberFormat="1" applyFont="1"/>
    <xf numFmtId="43" fontId="0" fillId="0" borderId="0" xfId="1" applyFont="1"/>
    <xf numFmtId="0" fontId="5" fillId="4" borderId="5" xfId="0" applyFont="1" applyFill="1" applyBorder="1"/>
    <xf numFmtId="165" fontId="0" fillId="0" borderId="0" xfId="0" applyNumberFormat="1"/>
    <xf numFmtId="0" fontId="2" fillId="5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</cellXfs>
  <cellStyles count="5">
    <cellStyle name="AwesomeStyle" xfId="4" xr:uid="{312F149B-6DB7-44F9-B46B-E35C48E0B0C7}"/>
    <cellStyle name="Comma" xfId="1" builtinId="3"/>
    <cellStyle name="Currency" xfId="2" builtinId="4"/>
    <cellStyle name="Normal" xfId="0" builtinId="0"/>
    <cellStyle name="Percent" xfId="3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'Monthly Budget'!$D$5</c:f>
              <c:strCache>
                <c:ptCount val="1"/>
                <c:pt idx="0">
                  <c:v>Feb-2025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8D3-4152-9007-5A1C5F99F7F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8D3-4152-9007-5A1C5F99F7F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8D3-4152-9007-5A1C5F99F7F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8D3-4152-9007-5A1C5F99F7F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8D3-4152-9007-5A1C5F99F7F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'Monthly Budget'!$B$6:$B$10</c:f>
              <c:strCache>
                <c:ptCount val="5"/>
                <c:pt idx="0">
                  <c:v>Internet</c:v>
                </c:pt>
                <c:pt idx="1">
                  <c:v>Phone</c:v>
                </c:pt>
                <c:pt idx="2">
                  <c:v>Rent</c:v>
                </c:pt>
                <c:pt idx="3">
                  <c:v>Car</c:v>
                </c:pt>
                <c:pt idx="4">
                  <c:v>Insurance</c:v>
                </c:pt>
              </c:strCache>
            </c:strRef>
          </c:cat>
          <c:val>
            <c:numRef>
              <c:f>'Monthly Budget'!$D$6:$D$10</c:f>
              <c:numCache>
                <c:formatCode>_(* #,##0.00_);_(* \(#,##0.00\);_(* "-"??_);_(@_)</c:formatCode>
                <c:ptCount val="5"/>
                <c:pt idx="0" formatCode="_-* #,##0.00\ [$zł-415]_-;\-* #,##0.00\ [$zł-415]_-;_-* &quot;-&quot;??\ [$zł-415]_-;_-@_-">
                  <c:v>125</c:v>
                </c:pt>
                <c:pt idx="1">
                  <c:v>50</c:v>
                </c:pt>
                <c:pt idx="2">
                  <c:v>1200</c:v>
                </c:pt>
                <c:pt idx="3">
                  <c:v>500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8D3-4152-9007-5A1C5F99F7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4A5C45D6-DF41-411D-9306-5C8A3EA98E39}" type="doc">
      <dgm:prSet loTypeId="urn:microsoft.com/office/officeart/2005/8/layout/hProcess9" loCatId="process" qsTypeId="urn:microsoft.com/office/officeart/2005/8/quickstyle/simple1" qsCatId="simple" csTypeId="urn:microsoft.com/office/officeart/2005/8/colors/accent1_2" csCatId="accent1" phldr="1"/>
      <dgm:spPr/>
    </dgm:pt>
    <dgm:pt modelId="{2F2E1CE4-B28B-4A60-A634-B848A499DC00}">
      <dgm:prSet phldrT="[Text]"/>
      <dgm:spPr/>
      <dgm:t>
        <a:bodyPr/>
        <a:lstStyle/>
        <a:p>
          <a:r>
            <a:rPr lang="pl-PL"/>
            <a:t>Make Money</a:t>
          </a:r>
          <a:endParaRPr lang="en-US"/>
        </a:p>
      </dgm:t>
    </dgm:pt>
    <dgm:pt modelId="{9AF08571-7BEB-4110-B674-96534746D32A}" type="parTrans" cxnId="{E2DAB3B1-B00A-4FBD-A6C9-66E82E537F6B}">
      <dgm:prSet/>
      <dgm:spPr/>
      <dgm:t>
        <a:bodyPr/>
        <a:lstStyle/>
        <a:p>
          <a:endParaRPr lang="en-US"/>
        </a:p>
      </dgm:t>
    </dgm:pt>
    <dgm:pt modelId="{B538EF23-73D9-447C-BFBF-381D2A1627F7}" type="sibTrans" cxnId="{E2DAB3B1-B00A-4FBD-A6C9-66E82E537F6B}">
      <dgm:prSet/>
      <dgm:spPr/>
      <dgm:t>
        <a:bodyPr/>
        <a:lstStyle/>
        <a:p>
          <a:endParaRPr lang="en-US"/>
        </a:p>
      </dgm:t>
    </dgm:pt>
    <dgm:pt modelId="{DE4F4731-6F2B-4B2A-BBCE-A043AB1398A6}">
      <dgm:prSet phldrT="[Text]"/>
      <dgm:spPr/>
      <dgm:t>
        <a:bodyPr/>
        <a:lstStyle/>
        <a:p>
          <a:r>
            <a:rPr lang="pl-PL"/>
            <a:t>Spend Money</a:t>
          </a:r>
          <a:endParaRPr lang="en-US"/>
        </a:p>
      </dgm:t>
    </dgm:pt>
    <dgm:pt modelId="{B80B396C-5DDE-4DE1-A654-996009C9AE4E}" type="parTrans" cxnId="{DF26D141-1C03-443F-BEEE-A82EC85DC576}">
      <dgm:prSet/>
      <dgm:spPr/>
      <dgm:t>
        <a:bodyPr/>
        <a:lstStyle/>
        <a:p>
          <a:endParaRPr lang="en-US"/>
        </a:p>
      </dgm:t>
    </dgm:pt>
    <dgm:pt modelId="{32F95743-1628-499B-BCE8-060C1F9E8858}" type="sibTrans" cxnId="{DF26D141-1C03-443F-BEEE-A82EC85DC576}">
      <dgm:prSet/>
      <dgm:spPr/>
      <dgm:t>
        <a:bodyPr/>
        <a:lstStyle/>
        <a:p>
          <a:endParaRPr lang="en-US"/>
        </a:p>
      </dgm:t>
    </dgm:pt>
    <dgm:pt modelId="{9C937CAC-1190-48ED-9305-1DBA37337BD4}">
      <dgm:prSet phldrT="[Text]"/>
      <dgm:spPr/>
      <dgm:t>
        <a:bodyPr/>
        <a:lstStyle/>
        <a:p>
          <a:r>
            <a:rPr lang="pl-PL"/>
            <a:t>Track Money</a:t>
          </a:r>
          <a:endParaRPr lang="en-US"/>
        </a:p>
      </dgm:t>
    </dgm:pt>
    <dgm:pt modelId="{285B06AC-0D9E-4E45-B787-49839D7146D9}" type="parTrans" cxnId="{633BF03D-FF93-4C8F-A82D-94397AF04E5E}">
      <dgm:prSet/>
      <dgm:spPr/>
      <dgm:t>
        <a:bodyPr/>
        <a:lstStyle/>
        <a:p>
          <a:endParaRPr lang="en-US"/>
        </a:p>
      </dgm:t>
    </dgm:pt>
    <dgm:pt modelId="{FA67B625-54E2-4761-95A1-2EB32FFD57B9}" type="sibTrans" cxnId="{633BF03D-FF93-4C8F-A82D-94397AF04E5E}">
      <dgm:prSet/>
      <dgm:spPr/>
      <dgm:t>
        <a:bodyPr/>
        <a:lstStyle/>
        <a:p>
          <a:endParaRPr lang="en-US"/>
        </a:p>
      </dgm:t>
    </dgm:pt>
    <dgm:pt modelId="{5FB5BBEA-F736-40F9-84C8-15A0B680F470}">
      <dgm:prSet phldrT="[Text]"/>
      <dgm:spPr/>
      <dgm:t>
        <a:bodyPr/>
        <a:lstStyle/>
        <a:p>
          <a:r>
            <a:rPr lang="pl-PL"/>
            <a:t>Work</a:t>
          </a:r>
          <a:endParaRPr lang="en-US"/>
        </a:p>
      </dgm:t>
    </dgm:pt>
    <dgm:pt modelId="{4E3D2FD2-2469-480C-A0E2-CD8F18287AFB}" type="parTrans" cxnId="{DA95CBDE-976D-4F72-A35F-58D23B2BAC77}">
      <dgm:prSet/>
      <dgm:spPr/>
      <dgm:t>
        <a:bodyPr/>
        <a:lstStyle/>
        <a:p>
          <a:endParaRPr lang="en-US"/>
        </a:p>
      </dgm:t>
    </dgm:pt>
    <dgm:pt modelId="{D5603AE4-47B4-4B09-95CC-A8738D8DCAE2}" type="sibTrans" cxnId="{DA95CBDE-976D-4F72-A35F-58D23B2BAC77}">
      <dgm:prSet/>
      <dgm:spPr/>
      <dgm:t>
        <a:bodyPr/>
        <a:lstStyle/>
        <a:p>
          <a:endParaRPr lang="en-US"/>
        </a:p>
      </dgm:t>
    </dgm:pt>
    <dgm:pt modelId="{2948F615-D08D-4508-B32B-5CE0B212D750}">
      <dgm:prSet phldrT="[Text]"/>
      <dgm:spPr/>
      <dgm:t>
        <a:bodyPr/>
        <a:lstStyle/>
        <a:p>
          <a:r>
            <a:rPr lang="pl-PL"/>
            <a:t>Market</a:t>
          </a:r>
          <a:endParaRPr lang="en-US"/>
        </a:p>
      </dgm:t>
    </dgm:pt>
    <dgm:pt modelId="{2E1236AA-A0E4-43FE-821E-BC65A70CD81D}" type="parTrans" cxnId="{4DA81AC5-9D1F-40C6-AE79-FB7CC903E843}">
      <dgm:prSet/>
      <dgm:spPr/>
      <dgm:t>
        <a:bodyPr/>
        <a:lstStyle/>
        <a:p>
          <a:endParaRPr lang="en-US"/>
        </a:p>
      </dgm:t>
    </dgm:pt>
    <dgm:pt modelId="{B29CDCCA-1BE4-4848-850D-044E537269AB}" type="sibTrans" cxnId="{4DA81AC5-9D1F-40C6-AE79-FB7CC903E843}">
      <dgm:prSet/>
      <dgm:spPr/>
      <dgm:t>
        <a:bodyPr/>
        <a:lstStyle/>
        <a:p>
          <a:endParaRPr lang="en-US"/>
        </a:p>
      </dgm:t>
    </dgm:pt>
    <dgm:pt modelId="{B1D90D5C-015F-464C-B868-D964DCD65A3C}">
      <dgm:prSet phldrT="[Text]"/>
      <dgm:spPr/>
      <dgm:t>
        <a:bodyPr/>
        <a:lstStyle/>
        <a:p>
          <a:r>
            <a:rPr lang="pl-PL"/>
            <a:t>Rent</a:t>
          </a:r>
          <a:endParaRPr lang="en-US"/>
        </a:p>
      </dgm:t>
    </dgm:pt>
    <dgm:pt modelId="{6F8CA3D2-E2F9-4A2C-B6C2-2F97FB02B652}" type="parTrans" cxnId="{85838F8D-C616-4290-B722-02EC37CF4B33}">
      <dgm:prSet/>
      <dgm:spPr/>
      <dgm:t>
        <a:bodyPr/>
        <a:lstStyle/>
        <a:p>
          <a:endParaRPr lang="en-US"/>
        </a:p>
      </dgm:t>
    </dgm:pt>
    <dgm:pt modelId="{B21364F4-3DCF-4A6C-B222-1076774867A4}" type="sibTrans" cxnId="{85838F8D-C616-4290-B722-02EC37CF4B33}">
      <dgm:prSet/>
      <dgm:spPr/>
      <dgm:t>
        <a:bodyPr/>
        <a:lstStyle/>
        <a:p>
          <a:endParaRPr lang="en-US"/>
        </a:p>
      </dgm:t>
    </dgm:pt>
    <dgm:pt modelId="{2E1E036B-49C8-4592-8304-664271E0F713}">
      <dgm:prSet phldrT="[Text]"/>
      <dgm:spPr/>
      <dgm:t>
        <a:bodyPr/>
        <a:lstStyle/>
        <a:p>
          <a:r>
            <a:rPr lang="pl-PL"/>
            <a:t>Food</a:t>
          </a:r>
          <a:endParaRPr lang="en-US"/>
        </a:p>
      </dgm:t>
    </dgm:pt>
    <dgm:pt modelId="{7CA37111-7A9F-45DD-9840-B70CCC83F3DA}" type="parTrans" cxnId="{A168E7FD-44C0-41C7-BD2A-5E3974551316}">
      <dgm:prSet/>
      <dgm:spPr/>
      <dgm:t>
        <a:bodyPr/>
        <a:lstStyle/>
        <a:p>
          <a:endParaRPr lang="en-US"/>
        </a:p>
      </dgm:t>
    </dgm:pt>
    <dgm:pt modelId="{63B0C10E-6D72-4D59-897E-D60BA8F96E9F}" type="sibTrans" cxnId="{A168E7FD-44C0-41C7-BD2A-5E3974551316}">
      <dgm:prSet/>
      <dgm:spPr/>
      <dgm:t>
        <a:bodyPr/>
        <a:lstStyle/>
        <a:p>
          <a:endParaRPr lang="en-US"/>
        </a:p>
      </dgm:t>
    </dgm:pt>
    <dgm:pt modelId="{1CB76E4B-4084-404D-9CC1-F24E40DD4794}">
      <dgm:prSet phldrT="[Text]"/>
      <dgm:spPr/>
      <dgm:t>
        <a:bodyPr/>
        <a:lstStyle/>
        <a:p>
          <a:r>
            <a:rPr lang="pl-PL"/>
            <a:t>Vacation</a:t>
          </a:r>
          <a:endParaRPr lang="en-US"/>
        </a:p>
      </dgm:t>
    </dgm:pt>
    <dgm:pt modelId="{B88C7059-BBE0-491F-8CE8-B4D0EDD332A6}" type="parTrans" cxnId="{78D2C35C-8FAF-4399-87EA-174562498D5D}">
      <dgm:prSet/>
      <dgm:spPr/>
      <dgm:t>
        <a:bodyPr/>
        <a:lstStyle/>
        <a:p>
          <a:endParaRPr lang="en-US"/>
        </a:p>
      </dgm:t>
    </dgm:pt>
    <dgm:pt modelId="{208C4DEA-E5BF-4E02-B69F-70CBB65C9280}" type="sibTrans" cxnId="{78D2C35C-8FAF-4399-87EA-174562498D5D}">
      <dgm:prSet/>
      <dgm:spPr/>
      <dgm:t>
        <a:bodyPr/>
        <a:lstStyle/>
        <a:p>
          <a:endParaRPr lang="en-US"/>
        </a:p>
      </dgm:t>
    </dgm:pt>
    <dgm:pt modelId="{B08A886F-B090-4B07-BCD3-2DA4D7753C6B}" type="pres">
      <dgm:prSet presAssocID="{4A5C45D6-DF41-411D-9306-5C8A3EA98E39}" presName="CompostProcess" presStyleCnt="0">
        <dgm:presLayoutVars>
          <dgm:dir/>
          <dgm:resizeHandles val="exact"/>
        </dgm:presLayoutVars>
      </dgm:prSet>
      <dgm:spPr/>
    </dgm:pt>
    <dgm:pt modelId="{0517122A-7511-4384-9F04-A2AA1795FE24}" type="pres">
      <dgm:prSet presAssocID="{4A5C45D6-DF41-411D-9306-5C8A3EA98E39}" presName="arrow" presStyleLbl="bgShp" presStyleIdx="0" presStyleCnt="1" custLinFactNeighborX="2931" custLinFactNeighborY="19857"/>
      <dgm:spPr/>
    </dgm:pt>
    <dgm:pt modelId="{C1253615-823A-4F3A-95C3-0C2628A9DD7C}" type="pres">
      <dgm:prSet presAssocID="{4A5C45D6-DF41-411D-9306-5C8A3EA98E39}" presName="linearProcess" presStyleCnt="0"/>
      <dgm:spPr/>
    </dgm:pt>
    <dgm:pt modelId="{ACE11FEA-1D38-416F-AED5-CBCC9192945D}" type="pres">
      <dgm:prSet presAssocID="{2F2E1CE4-B28B-4A60-A634-B848A499DC00}" presName="textNode" presStyleLbl="node1" presStyleIdx="0" presStyleCnt="3">
        <dgm:presLayoutVars>
          <dgm:bulletEnabled val="1"/>
        </dgm:presLayoutVars>
      </dgm:prSet>
      <dgm:spPr/>
    </dgm:pt>
    <dgm:pt modelId="{9779E606-BDC2-433F-9C2B-C902AFF27363}" type="pres">
      <dgm:prSet presAssocID="{B538EF23-73D9-447C-BFBF-381D2A1627F7}" presName="sibTrans" presStyleCnt="0"/>
      <dgm:spPr/>
    </dgm:pt>
    <dgm:pt modelId="{3C466B92-8A48-4C0B-93B6-D80C6F5F4AF0}" type="pres">
      <dgm:prSet presAssocID="{DE4F4731-6F2B-4B2A-BBCE-A043AB1398A6}" presName="textNode" presStyleLbl="node1" presStyleIdx="1" presStyleCnt="3">
        <dgm:presLayoutVars>
          <dgm:bulletEnabled val="1"/>
        </dgm:presLayoutVars>
      </dgm:prSet>
      <dgm:spPr/>
    </dgm:pt>
    <dgm:pt modelId="{704485B1-3954-4843-9ED2-698F62D34F3A}" type="pres">
      <dgm:prSet presAssocID="{32F95743-1628-499B-BCE8-060C1F9E8858}" presName="sibTrans" presStyleCnt="0"/>
      <dgm:spPr/>
    </dgm:pt>
    <dgm:pt modelId="{52518414-6839-4C90-81F7-01BD32EBFB5C}" type="pres">
      <dgm:prSet presAssocID="{9C937CAC-1190-48ED-9305-1DBA37337BD4}" presName="textNode" presStyleLbl="node1" presStyleIdx="2" presStyleCnt="3">
        <dgm:presLayoutVars>
          <dgm:bulletEnabled val="1"/>
        </dgm:presLayoutVars>
      </dgm:prSet>
      <dgm:spPr/>
    </dgm:pt>
  </dgm:ptLst>
  <dgm:cxnLst>
    <dgm:cxn modelId="{80BE050D-A678-4A3F-B92F-52A725D2E26C}" type="presOf" srcId="{2948F615-D08D-4508-B32B-5CE0B212D750}" destId="{ACE11FEA-1D38-416F-AED5-CBCC9192945D}" srcOrd="0" destOrd="2" presId="urn:microsoft.com/office/officeart/2005/8/layout/hProcess9"/>
    <dgm:cxn modelId="{6DDB6428-FBB5-4906-9F9F-905AA4B8D645}" type="presOf" srcId="{2E1E036B-49C8-4592-8304-664271E0F713}" destId="{3C466B92-8A48-4C0B-93B6-D80C6F5F4AF0}" srcOrd="0" destOrd="2" presId="urn:microsoft.com/office/officeart/2005/8/layout/hProcess9"/>
    <dgm:cxn modelId="{DB3EC032-6DA3-41A8-8F78-F02DA3F61C77}" type="presOf" srcId="{1CB76E4B-4084-404D-9CC1-F24E40DD4794}" destId="{3C466B92-8A48-4C0B-93B6-D80C6F5F4AF0}" srcOrd="0" destOrd="3" presId="urn:microsoft.com/office/officeart/2005/8/layout/hProcess9"/>
    <dgm:cxn modelId="{633BF03D-FF93-4C8F-A82D-94397AF04E5E}" srcId="{4A5C45D6-DF41-411D-9306-5C8A3EA98E39}" destId="{9C937CAC-1190-48ED-9305-1DBA37337BD4}" srcOrd="2" destOrd="0" parTransId="{285B06AC-0D9E-4E45-B787-49839D7146D9}" sibTransId="{FA67B625-54E2-4761-95A1-2EB32FFD57B9}"/>
    <dgm:cxn modelId="{78D2C35C-8FAF-4399-87EA-174562498D5D}" srcId="{DE4F4731-6F2B-4B2A-BBCE-A043AB1398A6}" destId="{1CB76E4B-4084-404D-9CC1-F24E40DD4794}" srcOrd="2" destOrd="0" parTransId="{B88C7059-BBE0-491F-8CE8-B4D0EDD332A6}" sibTransId="{208C4DEA-E5BF-4E02-B69F-70CBB65C9280}"/>
    <dgm:cxn modelId="{DF26D141-1C03-443F-BEEE-A82EC85DC576}" srcId="{4A5C45D6-DF41-411D-9306-5C8A3EA98E39}" destId="{DE4F4731-6F2B-4B2A-BBCE-A043AB1398A6}" srcOrd="1" destOrd="0" parTransId="{B80B396C-5DDE-4DE1-A654-996009C9AE4E}" sibTransId="{32F95743-1628-499B-BCE8-060C1F9E8858}"/>
    <dgm:cxn modelId="{6F6AFD6B-C09D-4F2A-AEE0-E59E4A81C3FA}" type="presOf" srcId="{2F2E1CE4-B28B-4A60-A634-B848A499DC00}" destId="{ACE11FEA-1D38-416F-AED5-CBCC9192945D}" srcOrd="0" destOrd="0" presId="urn:microsoft.com/office/officeart/2005/8/layout/hProcess9"/>
    <dgm:cxn modelId="{C1721F6D-5A42-4005-B3C6-EB97D866E656}" type="presOf" srcId="{5FB5BBEA-F736-40F9-84C8-15A0B680F470}" destId="{ACE11FEA-1D38-416F-AED5-CBCC9192945D}" srcOrd="0" destOrd="1" presId="urn:microsoft.com/office/officeart/2005/8/layout/hProcess9"/>
    <dgm:cxn modelId="{910B5071-28FD-4FF4-A17F-DF4132ACEF66}" type="presOf" srcId="{4A5C45D6-DF41-411D-9306-5C8A3EA98E39}" destId="{B08A886F-B090-4B07-BCD3-2DA4D7753C6B}" srcOrd="0" destOrd="0" presId="urn:microsoft.com/office/officeart/2005/8/layout/hProcess9"/>
    <dgm:cxn modelId="{85838F8D-C616-4290-B722-02EC37CF4B33}" srcId="{DE4F4731-6F2B-4B2A-BBCE-A043AB1398A6}" destId="{B1D90D5C-015F-464C-B868-D964DCD65A3C}" srcOrd="0" destOrd="0" parTransId="{6F8CA3D2-E2F9-4A2C-B6C2-2F97FB02B652}" sibTransId="{B21364F4-3DCF-4A6C-B222-1076774867A4}"/>
    <dgm:cxn modelId="{AA5F54B0-AC58-48A3-9ECF-E7AE8A347735}" type="presOf" srcId="{B1D90D5C-015F-464C-B868-D964DCD65A3C}" destId="{3C466B92-8A48-4C0B-93B6-D80C6F5F4AF0}" srcOrd="0" destOrd="1" presId="urn:microsoft.com/office/officeart/2005/8/layout/hProcess9"/>
    <dgm:cxn modelId="{E2DAB3B1-B00A-4FBD-A6C9-66E82E537F6B}" srcId="{4A5C45D6-DF41-411D-9306-5C8A3EA98E39}" destId="{2F2E1CE4-B28B-4A60-A634-B848A499DC00}" srcOrd="0" destOrd="0" parTransId="{9AF08571-7BEB-4110-B674-96534746D32A}" sibTransId="{B538EF23-73D9-447C-BFBF-381D2A1627F7}"/>
    <dgm:cxn modelId="{62EC78BB-454D-47D8-93F3-F25FEFCCF3DA}" type="presOf" srcId="{9C937CAC-1190-48ED-9305-1DBA37337BD4}" destId="{52518414-6839-4C90-81F7-01BD32EBFB5C}" srcOrd="0" destOrd="0" presId="urn:microsoft.com/office/officeart/2005/8/layout/hProcess9"/>
    <dgm:cxn modelId="{4DA81AC5-9D1F-40C6-AE79-FB7CC903E843}" srcId="{2F2E1CE4-B28B-4A60-A634-B848A499DC00}" destId="{2948F615-D08D-4508-B32B-5CE0B212D750}" srcOrd="1" destOrd="0" parTransId="{2E1236AA-A0E4-43FE-821E-BC65A70CD81D}" sibTransId="{B29CDCCA-1BE4-4848-850D-044E537269AB}"/>
    <dgm:cxn modelId="{E7EFC0C9-D941-44CB-A261-34DC52925D0D}" type="presOf" srcId="{DE4F4731-6F2B-4B2A-BBCE-A043AB1398A6}" destId="{3C466B92-8A48-4C0B-93B6-D80C6F5F4AF0}" srcOrd="0" destOrd="0" presId="urn:microsoft.com/office/officeart/2005/8/layout/hProcess9"/>
    <dgm:cxn modelId="{DA95CBDE-976D-4F72-A35F-58D23B2BAC77}" srcId="{2F2E1CE4-B28B-4A60-A634-B848A499DC00}" destId="{5FB5BBEA-F736-40F9-84C8-15A0B680F470}" srcOrd="0" destOrd="0" parTransId="{4E3D2FD2-2469-480C-A0E2-CD8F18287AFB}" sibTransId="{D5603AE4-47B4-4B09-95CC-A8738D8DCAE2}"/>
    <dgm:cxn modelId="{A168E7FD-44C0-41C7-BD2A-5E3974551316}" srcId="{DE4F4731-6F2B-4B2A-BBCE-A043AB1398A6}" destId="{2E1E036B-49C8-4592-8304-664271E0F713}" srcOrd="1" destOrd="0" parTransId="{7CA37111-7A9F-45DD-9840-B70CCC83F3DA}" sibTransId="{63B0C10E-6D72-4D59-897E-D60BA8F96E9F}"/>
    <dgm:cxn modelId="{E3C69C93-EF6D-474E-BE2D-F33A02BBC784}" type="presParOf" srcId="{B08A886F-B090-4B07-BCD3-2DA4D7753C6B}" destId="{0517122A-7511-4384-9F04-A2AA1795FE24}" srcOrd="0" destOrd="0" presId="urn:microsoft.com/office/officeart/2005/8/layout/hProcess9"/>
    <dgm:cxn modelId="{42A09F36-E31A-4CA4-9B6A-E51B20244E1E}" type="presParOf" srcId="{B08A886F-B090-4B07-BCD3-2DA4D7753C6B}" destId="{C1253615-823A-4F3A-95C3-0C2628A9DD7C}" srcOrd="1" destOrd="0" presId="urn:microsoft.com/office/officeart/2005/8/layout/hProcess9"/>
    <dgm:cxn modelId="{55FE2699-97BE-42AE-B719-40E744529F26}" type="presParOf" srcId="{C1253615-823A-4F3A-95C3-0C2628A9DD7C}" destId="{ACE11FEA-1D38-416F-AED5-CBCC9192945D}" srcOrd="0" destOrd="0" presId="urn:microsoft.com/office/officeart/2005/8/layout/hProcess9"/>
    <dgm:cxn modelId="{B0F86556-B6B0-4EE8-818E-14DA58D1AF76}" type="presParOf" srcId="{C1253615-823A-4F3A-95C3-0C2628A9DD7C}" destId="{9779E606-BDC2-433F-9C2B-C902AFF27363}" srcOrd="1" destOrd="0" presId="urn:microsoft.com/office/officeart/2005/8/layout/hProcess9"/>
    <dgm:cxn modelId="{882CDC10-5F84-4E45-AB49-6D0D0662A4E4}" type="presParOf" srcId="{C1253615-823A-4F3A-95C3-0C2628A9DD7C}" destId="{3C466B92-8A48-4C0B-93B6-D80C6F5F4AF0}" srcOrd="2" destOrd="0" presId="urn:microsoft.com/office/officeart/2005/8/layout/hProcess9"/>
    <dgm:cxn modelId="{EB10F90A-7EC4-43C9-9BAD-60A985F4C617}" type="presParOf" srcId="{C1253615-823A-4F3A-95C3-0C2628A9DD7C}" destId="{704485B1-3954-4843-9ED2-698F62D34F3A}" srcOrd="3" destOrd="0" presId="urn:microsoft.com/office/officeart/2005/8/layout/hProcess9"/>
    <dgm:cxn modelId="{52E84F73-BC4D-4FA6-A422-81FE14E2C1FF}" type="presParOf" srcId="{C1253615-823A-4F3A-95C3-0C2628A9DD7C}" destId="{52518414-6839-4C90-81F7-01BD32EBFB5C}" srcOrd="4" destOrd="0" presId="urn:microsoft.com/office/officeart/2005/8/layout/hProcess9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0517122A-7511-4384-9F04-A2AA1795FE24}">
      <dsp:nvSpPr>
        <dsp:cNvPr id="0" name=""/>
        <dsp:cNvSpPr/>
      </dsp:nvSpPr>
      <dsp:spPr>
        <a:xfrm>
          <a:off x="483711" y="0"/>
          <a:ext cx="4115103" cy="2790824"/>
        </a:xfrm>
        <a:prstGeom prst="rightArrow">
          <a:avLst/>
        </a:prstGeom>
        <a:solidFill>
          <a:schemeClr val="accent1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ACE11FEA-1D38-416F-AED5-CBCC9192945D}">
      <dsp:nvSpPr>
        <dsp:cNvPr id="0" name=""/>
        <dsp:cNvSpPr/>
      </dsp:nvSpPr>
      <dsp:spPr>
        <a:xfrm>
          <a:off x="162400" y="837247"/>
          <a:ext cx="1452389" cy="1116330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0960" tIns="60960" rIns="60960" bIns="60960" numCol="1" spcCol="1270" anchor="t" anchorCtr="0">
          <a:noAutofit/>
        </a:bodyPr>
        <a:lstStyle/>
        <a:p>
          <a:pPr marL="0" lvl="0" indent="0" algn="l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l-PL" sz="1600" kern="1200"/>
            <a:t>Make Money</a:t>
          </a:r>
          <a:endParaRPr lang="en-US" sz="1600" kern="1200"/>
        </a:p>
        <a:p>
          <a:pPr marL="114300" lvl="1" indent="-114300" algn="l" defTabSz="5334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pl-PL" sz="1200" kern="1200"/>
            <a:t>Work</a:t>
          </a:r>
          <a:endParaRPr lang="en-US" sz="1200" kern="1200"/>
        </a:p>
        <a:p>
          <a:pPr marL="114300" lvl="1" indent="-114300" algn="l" defTabSz="5334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pl-PL" sz="1200" kern="1200"/>
            <a:t>Market</a:t>
          </a:r>
          <a:endParaRPr lang="en-US" sz="1200" kern="1200"/>
        </a:p>
      </dsp:txBody>
      <dsp:txXfrm>
        <a:off x="216895" y="891742"/>
        <a:ext cx="1343399" cy="1007340"/>
      </dsp:txXfrm>
    </dsp:sp>
    <dsp:sp modelId="{3C466B92-8A48-4C0B-93B6-D80C6F5F4AF0}">
      <dsp:nvSpPr>
        <dsp:cNvPr id="0" name=""/>
        <dsp:cNvSpPr/>
      </dsp:nvSpPr>
      <dsp:spPr>
        <a:xfrm>
          <a:off x="1694454" y="837247"/>
          <a:ext cx="1452389" cy="1116330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0960" tIns="60960" rIns="60960" bIns="60960" numCol="1" spcCol="1270" anchor="t" anchorCtr="0">
          <a:noAutofit/>
        </a:bodyPr>
        <a:lstStyle/>
        <a:p>
          <a:pPr marL="0" lvl="0" indent="0" algn="l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l-PL" sz="1600" kern="1200"/>
            <a:t>Spend Money</a:t>
          </a:r>
          <a:endParaRPr lang="en-US" sz="1600" kern="1200"/>
        </a:p>
        <a:p>
          <a:pPr marL="114300" lvl="1" indent="-114300" algn="l" defTabSz="5334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pl-PL" sz="1200" kern="1200"/>
            <a:t>Rent</a:t>
          </a:r>
          <a:endParaRPr lang="en-US" sz="1200" kern="1200"/>
        </a:p>
        <a:p>
          <a:pPr marL="114300" lvl="1" indent="-114300" algn="l" defTabSz="5334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pl-PL" sz="1200" kern="1200"/>
            <a:t>Food</a:t>
          </a:r>
          <a:endParaRPr lang="en-US" sz="1200" kern="1200"/>
        </a:p>
        <a:p>
          <a:pPr marL="114300" lvl="1" indent="-114300" algn="l" defTabSz="5334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pl-PL" sz="1200" kern="1200"/>
            <a:t>Vacation</a:t>
          </a:r>
          <a:endParaRPr lang="en-US" sz="1200" kern="1200"/>
        </a:p>
      </dsp:txBody>
      <dsp:txXfrm>
        <a:off x="1748949" y="891742"/>
        <a:ext cx="1343399" cy="1007340"/>
      </dsp:txXfrm>
    </dsp:sp>
    <dsp:sp modelId="{52518414-6839-4C90-81F7-01BD32EBFB5C}">
      <dsp:nvSpPr>
        <dsp:cNvPr id="0" name=""/>
        <dsp:cNvSpPr/>
      </dsp:nvSpPr>
      <dsp:spPr>
        <a:xfrm>
          <a:off x="3226507" y="837247"/>
          <a:ext cx="1452389" cy="1116330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0960" tIns="60960" rIns="60960" bIns="609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l-PL" sz="1600" kern="1200"/>
            <a:t>Track Money</a:t>
          </a:r>
          <a:endParaRPr lang="en-US" sz="1600" kern="1200"/>
        </a:p>
      </dsp:txBody>
      <dsp:txXfrm>
        <a:off x="3281002" y="891742"/>
        <a:ext cx="1343399" cy="1007340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hProcess9">
  <dgm:title val=""/>
  <dgm:desc val=""/>
  <dgm:catLst>
    <dgm:cat type="process" pri="5000"/>
    <dgm:cat type="convert" pri="13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CompostProcess">
    <dgm:varLst>
      <dgm:dir/>
      <dgm:resizeHandles val="exact"/>
    </dgm:varLst>
    <dgm:alg type="composite">
      <dgm:param type="horzAlign" val="ctr"/>
      <dgm:param type="vertAlign" val="mid"/>
    </dgm:alg>
    <dgm:shape xmlns:r="http://schemas.openxmlformats.org/officeDocument/2006/relationships" r:blip="">
      <dgm:adjLst/>
    </dgm:shape>
    <dgm:presOf/>
    <dgm:constrLst>
      <dgm:constr type="w" for="ch" forName="arrow" refType="w" fact="0.85"/>
      <dgm:constr type="h" for="ch" forName="arrow" refType="h"/>
      <dgm:constr type="ctrX" for="ch" forName="arrow" refType="w" fact="0.5"/>
      <dgm:constr type="ctrY" for="ch" forName="arrow" refType="h" fact="0.5"/>
      <dgm:constr type="w" for="ch" forName="linearProcess" refType="w"/>
      <dgm:constr type="h" for="ch" forName="linearProcess" refType="h" fact="0.4"/>
      <dgm:constr type="ctrX" for="ch" forName="linearProcess" refType="w" fact="0.5"/>
      <dgm:constr type="ctrY" for="ch" forName="linearProcess" refType="h" fact="0.5"/>
    </dgm:constrLst>
    <dgm:ruleLst/>
    <dgm:layoutNode name="arrow" styleLbl="bgShp">
      <dgm:alg type="sp"/>
      <dgm:choose name="Name0">
        <dgm:if name="Name1" func="var" arg="dir" op="equ" val="norm">
          <dgm:shape xmlns:r="http://schemas.openxmlformats.org/officeDocument/2006/relationships" type="rightArrow" r:blip="">
            <dgm:adjLst/>
          </dgm:shape>
        </dgm:if>
        <dgm:else name="Name2">
          <dgm:shape xmlns:r="http://schemas.openxmlformats.org/officeDocument/2006/relationships" type="leftArrow" r:blip="">
            <dgm:adjLst/>
          </dgm:shape>
        </dgm:else>
      </dgm:choose>
      <dgm:presOf/>
      <dgm:constrLst/>
      <dgm:ruleLst/>
    </dgm:layoutNode>
    <dgm:layoutNode name="linearProcess">
      <dgm:choose name="Name3">
        <dgm:if name="Name4" func="var" arg="dir" op="equ" val="norm">
          <dgm:alg type="lin"/>
        </dgm:if>
        <dgm:else name="Name5">
          <dgm:alg type="lin">
            <dgm:param type="linDir" val="fromR"/>
          </dgm:alg>
        </dgm:else>
      </dgm:choose>
      <dgm:shape xmlns:r="http://schemas.openxmlformats.org/officeDocument/2006/relationships" r:blip="">
        <dgm:adjLst/>
      </dgm:shape>
      <dgm:presOf/>
      <dgm:constrLst>
        <dgm:constr type="userA" for="ch" ptType="node" refType="w"/>
        <dgm:constr type="h" for="ch" ptType="node" refType="h"/>
        <dgm:constr type="w" for="ch" ptType="node" op="equ"/>
        <dgm:constr type="w" for="ch" forName="sibTrans" refType="w" fact="0.05"/>
        <dgm:constr type="primFontSz" for="ch" ptType="node" op="equ" val="65"/>
      </dgm:constrLst>
      <dgm:ruleLst/>
      <dgm:forEach name="Name6" axis="ch" ptType="node">
        <dgm:layoutNode name="textNode" styleLbl="node1">
          <dgm:varLst>
            <dgm:bulletEnabled val="1"/>
          </dgm:varLst>
          <dgm:alg type="tx"/>
          <dgm:shape xmlns:r="http://schemas.openxmlformats.org/officeDocument/2006/relationships" type="roundRect" r:blip="">
            <dgm:adjLst/>
          </dgm:shape>
          <dgm:presOf axis="desOrSelf" ptType="node"/>
          <dgm:constrLst>
            <dgm:constr type="userA"/>
            <dgm:constr type="w" refType="userA" fact="0.3"/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w" val="NaN" fact="1" max="NaN"/>
            <dgm:rule type="primFontSz" val="5" fact="NaN" max="NaN"/>
          </dgm:ruleLst>
        </dgm:layoutNode>
        <dgm:forEach name="Name7" axis="followSib" ptType="sibTrans" cnt="1">
          <dgm:layoutNode name="sibTrans">
            <dgm:alg type="sp"/>
            <dgm:shape xmlns:r="http://schemas.openxmlformats.org/officeDocument/2006/relationships" r:blip="">
              <dgm:adjLst/>
            </dgm:shape>
            <dgm:presOf/>
            <dgm:constrLst/>
            <dgm:ruleLst/>
          </dgm:layoutNode>
        </dgm:forEach>
      </dgm:forEach>
    </dgm:layoutNode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6" Type="http://schemas.openxmlformats.org/officeDocument/2006/relationships/chart" Target="../charts/chart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104775</xdr:colOff>
      <xdr:row>6</xdr:row>
      <xdr:rowOff>171450</xdr:rowOff>
    </xdr:from>
    <xdr:to>
      <xdr:col>7</xdr:col>
      <xdr:colOff>495300</xdr:colOff>
      <xdr:row>8</xdr:row>
      <xdr:rowOff>47625</xdr:rowOff>
    </xdr:to>
    <xdr:sp macro="" textlink="">
      <xdr:nvSpPr>
        <xdr:cNvPr id="3" name="Arrow: Left 2">
          <a:extLst>
            <a:ext uri="{FF2B5EF4-FFF2-40B4-BE49-F238E27FC236}">
              <a16:creationId xmlns:a16="http://schemas.microsoft.com/office/drawing/2014/main" id="{EFBD6AE3-0971-4244-8B1D-0E22B6741835}"/>
            </a:ext>
          </a:extLst>
        </xdr:cNvPr>
        <xdr:cNvSpPr/>
      </xdr:nvSpPr>
      <xdr:spPr>
        <a:xfrm>
          <a:off x="6115050" y="1581150"/>
          <a:ext cx="390525" cy="257175"/>
        </a:xfrm>
        <a:prstGeom prst="leftArrow">
          <a:avLst>
            <a:gd name="adj1" fmla="val 48148"/>
            <a:gd name="adj2" fmla="val 59259"/>
          </a:avLst>
        </a:prstGeom>
        <a:solidFill>
          <a:schemeClr val="tx2">
            <a:lumMod val="10000"/>
            <a:lumOff val="90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5">
            <a:shade val="15000"/>
          </a:schemeClr>
        </a:lnRef>
        <a:fillRef idx="1002">
          <a:schemeClr val="dk2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213879</xdr:colOff>
      <xdr:row>25</xdr:row>
      <xdr:rowOff>94816</xdr:rowOff>
    </xdr:from>
    <xdr:to>
      <xdr:col>6</xdr:col>
      <xdr:colOff>426027</xdr:colOff>
      <xdr:row>40</xdr:row>
      <xdr:rowOff>28141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61976AF4-0A71-4AB0-93CA-55E67824C1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9</xdr:col>
      <xdr:colOff>69272</xdr:colOff>
      <xdr:row>2</xdr:row>
      <xdr:rowOff>261070</xdr:rowOff>
    </xdr:from>
    <xdr:to>
      <xdr:col>16</xdr:col>
      <xdr:colOff>594880</xdr:colOff>
      <xdr:row>18</xdr:row>
      <xdr:rowOff>69271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B9193FF8-660C-459E-939A-DE0043A303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75130-0D8F-40DB-91AF-BBA3DEF02BEC}">
  <dimension ref="B2:H18"/>
  <sheetViews>
    <sheetView tabSelected="1" zoomScaleNormal="100" zoomScalePageLayoutView="55" workbookViewId="0">
      <selection activeCell="H21" sqref="H21"/>
    </sheetView>
  </sheetViews>
  <sheetFormatPr defaultRowHeight="15" x14ac:dyDescent="0.25"/>
  <cols>
    <col min="2" max="2" width="12.5703125" bestFit="1" customWidth="1"/>
    <col min="3" max="3" width="14.42578125" bestFit="1" customWidth="1"/>
    <col min="4" max="4" width="14.7109375" bestFit="1" customWidth="1"/>
    <col min="5" max="5" width="14.42578125" bestFit="1" customWidth="1"/>
    <col min="6" max="6" width="13.28515625" bestFit="1" customWidth="1"/>
    <col min="7" max="7" width="11.5703125" bestFit="1" customWidth="1"/>
    <col min="11" max="11" width="9.85546875" bestFit="1" customWidth="1"/>
    <col min="12" max="15" width="11.42578125" bestFit="1" customWidth="1"/>
    <col min="16" max="16" width="9.140625" bestFit="1" customWidth="1"/>
  </cols>
  <sheetData>
    <row r="2" spans="2:8" ht="15.75" thickBot="1" x14ac:dyDescent="0.3"/>
    <row r="3" spans="2:8" ht="33" thickTop="1" thickBot="1" x14ac:dyDescent="0.55000000000000004">
      <c r="B3" s="9" t="s">
        <v>13</v>
      </c>
      <c r="C3" s="10"/>
      <c r="D3" s="10"/>
      <c r="E3" s="10"/>
      <c r="F3" s="10"/>
      <c r="G3" s="11"/>
    </row>
    <row r="4" spans="2:8" ht="15.75" thickTop="1" x14ac:dyDescent="0.25"/>
    <row r="5" spans="2:8" ht="16.5" thickBot="1" x14ac:dyDescent="0.3">
      <c r="B5" s="1" t="s">
        <v>0</v>
      </c>
      <c r="C5" s="2">
        <v>45658</v>
      </c>
      <c r="D5" s="2">
        <v>45689</v>
      </c>
      <c r="E5" s="2">
        <v>45717</v>
      </c>
      <c r="F5" s="1" t="s">
        <v>1</v>
      </c>
      <c r="G5" s="1" t="s">
        <v>2</v>
      </c>
    </row>
    <row r="6" spans="2:8" x14ac:dyDescent="0.25">
      <c r="B6" t="s">
        <v>3</v>
      </c>
      <c r="C6" s="3">
        <v>150</v>
      </c>
      <c r="D6" s="3">
        <v>125</v>
      </c>
      <c r="E6" s="3">
        <v>130</v>
      </c>
      <c r="F6" s="3">
        <f>SUM(C6:E6)</f>
        <v>405</v>
      </c>
      <c r="G6" s="4">
        <f t="shared" ref="G6:G11" si="0">F6/$F$11</f>
        <v>6.4490445859872611E-2</v>
      </c>
    </row>
    <row r="7" spans="2:8" x14ac:dyDescent="0.25">
      <c r="B7" t="s">
        <v>4</v>
      </c>
      <c r="C7" s="5">
        <v>70</v>
      </c>
      <c r="D7" s="5">
        <v>50</v>
      </c>
      <c r="E7" s="5">
        <v>55</v>
      </c>
      <c r="F7" s="5">
        <f>SUM(C7:E7)</f>
        <v>175</v>
      </c>
      <c r="G7" s="4">
        <f t="shared" si="0"/>
        <v>2.7866242038216561E-2</v>
      </c>
    </row>
    <row r="8" spans="2:8" x14ac:dyDescent="0.25">
      <c r="B8" t="s">
        <v>5</v>
      </c>
      <c r="C8" s="5">
        <v>1200</v>
      </c>
      <c r="D8" s="5">
        <v>1200</v>
      </c>
      <c r="E8" s="5">
        <v>1200</v>
      </c>
      <c r="F8" s="5">
        <f>SUM(C8:E8)</f>
        <v>3600</v>
      </c>
      <c r="G8" s="4">
        <f t="shared" si="0"/>
        <v>0.57324840764331209</v>
      </c>
    </row>
    <row r="9" spans="2:8" x14ac:dyDescent="0.25">
      <c r="B9" t="s">
        <v>6</v>
      </c>
      <c r="C9" s="5">
        <v>600</v>
      </c>
      <c r="D9" s="5">
        <v>500</v>
      </c>
      <c r="E9" s="5">
        <v>700</v>
      </c>
      <c r="F9" s="5">
        <f>SUM(C9:E9)</f>
        <v>1800</v>
      </c>
      <c r="G9" s="4">
        <f t="shared" si="0"/>
        <v>0.28662420382165604</v>
      </c>
    </row>
    <row r="10" spans="2:8" x14ac:dyDescent="0.25">
      <c r="B10" t="s">
        <v>7</v>
      </c>
      <c r="C10" s="5">
        <v>100</v>
      </c>
      <c r="D10" s="5">
        <v>100</v>
      </c>
      <c r="E10" s="5">
        <v>100</v>
      </c>
      <c r="F10" s="5">
        <f>SUM(C10:E10)</f>
        <v>300</v>
      </c>
      <c r="G10" s="4">
        <f t="shared" si="0"/>
        <v>4.7770700636942678E-2</v>
      </c>
    </row>
    <row r="11" spans="2:8" x14ac:dyDescent="0.25">
      <c r="B11" t="s">
        <v>1</v>
      </c>
      <c r="C11" s="3">
        <f>SUM(C6:C10)</f>
        <v>2120</v>
      </c>
      <c r="D11" s="3">
        <f>SUM(D6:D10)</f>
        <v>1975</v>
      </c>
      <c r="E11" s="3">
        <f>SUM(E6:E10)</f>
        <v>2185</v>
      </c>
      <c r="F11" s="3">
        <f>SUM(F6:F10)</f>
        <v>6280</v>
      </c>
      <c r="G11" s="4">
        <f t="shared" si="0"/>
        <v>1</v>
      </c>
    </row>
    <row r="14" spans="2:8" ht="18.75" x14ac:dyDescent="0.3">
      <c r="B14" s="6" t="s">
        <v>8</v>
      </c>
      <c r="C14" s="7">
        <f>MIN(C6:C10)</f>
        <v>70</v>
      </c>
      <c r="D14" s="7">
        <f>MIN(D6:D10)</f>
        <v>50</v>
      </c>
      <c r="E14" s="7">
        <f>MIN(E6:E10)</f>
        <v>55</v>
      </c>
    </row>
    <row r="15" spans="2:8" ht="18.75" x14ac:dyDescent="0.3">
      <c r="B15" s="6" t="s">
        <v>9</v>
      </c>
      <c r="C15" s="7">
        <f>MAX(C6:C10)</f>
        <v>1200</v>
      </c>
      <c r="D15" s="7">
        <f>MAX(D6:D10)</f>
        <v>1200</v>
      </c>
      <c r="E15" s="7">
        <f>MAX(E6:E10)</f>
        <v>1200</v>
      </c>
    </row>
    <row r="16" spans="2:8" ht="18.75" x14ac:dyDescent="0.3">
      <c r="B16" s="6" t="s">
        <v>10</v>
      </c>
      <c r="C16" s="7">
        <f>AVERAGEA(C6:C10)</f>
        <v>424</v>
      </c>
      <c r="D16" s="7">
        <f>AVERAGEA(D6:D10)</f>
        <v>395</v>
      </c>
      <c r="E16" s="7">
        <f>AVERAGEA(E6:E10)</f>
        <v>437</v>
      </c>
      <c r="H16" s="8"/>
    </row>
    <row r="17" spans="2:5" ht="18.75" x14ac:dyDescent="0.3">
      <c r="B17" s="6" t="s">
        <v>11</v>
      </c>
      <c r="C17" s="7">
        <f>MEDIAN(C6:C10)</f>
        <v>150</v>
      </c>
      <c r="D17" s="7">
        <f>MEDIAN(D6:D10)</f>
        <v>125</v>
      </c>
      <c r="E17" s="7">
        <f>MEDIAN(E6:E10)</f>
        <v>130</v>
      </c>
    </row>
    <row r="18" spans="2:5" ht="18.75" x14ac:dyDescent="0.3">
      <c r="B18" s="6" t="s">
        <v>12</v>
      </c>
      <c r="C18">
        <f>COUNT(C6:C10)</f>
        <v>5</v>
      </c>
      <c r="D18">
        <f>COUNT(D6:D10)</f>
        <v>5</v>
      </c>
      <c r="E18">
        <f>COUNT(E6:E10)</f>
        <v>5</v>
      </c>
    </row>
  </sheetData>
  <mergeCells count="1">
    <mergeCell ref="B3:G3"/>
  </mergeCells>
  <conditionalFormatting sqref="C6:E10">
    <cfRule type="cellIs" dxfId="0" priority="1" operator="greaterThan">
      <formula>250</formula>
    </cfRule>
  </conditionalFormatting>
  <pageMargins left="0.31496062992125984" right="0.70866141732283472" top="0.74803149606299213" bottom="0.74803149606299213" header="0.31496062992125984" footer="0.31496062992125984"/>
  <pageSetup paperSize="9" scale="130" orientation="landscape" r:id="rId1"/>
  <headerFooter>
    <oddHeader>&amp;C2019 Monthly Budget&amp;RJakub Strycharz</oddHeader>
    <oddFooter>&amp;R&amp;P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Strycharz</dc:creator>
  <cp:lastModifiedBy>Jakub Strycharz</cp:lastModifiedBy>
  <dcterms:created xsi:type="dcterms:W3CDTF">2026-01-29T20:29:36Z</dcterms:created>
  <dcterms:modified xsi:type="dcterms:W3CDTF">2026-02-21T10:01:39Z</dcterms:modified>
</cp:coreProperties>
</file>